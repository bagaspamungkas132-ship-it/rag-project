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icing_Rules" sheetId="1" state="visible" r:id="rId3"/>
    <sheet name="Customer_Sampl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<sst xmlns="http://schemas.openxmlformats.org/spreadsheetml/2006/main" count="102" uniqueCount="61">
  <si>
    <t xml:space="preserve">Pricing Rules (Guardrail) — diisi/di-approve oleh Treasury/Product Owner</t>
  </si>
  <si>
    <t xml:space="preserve">Product</t>
  </si>
  <si>
    <t xml:space="preserve">Tenor_min_bulan</t>
  </si>
  <si>
    <t xml:space="preserve">Tenor_max_bulan</t>
  </si>
  <si>
    <t xml:space="preserve">Rate_min</t>
  </si>
  <si>
    <t xml:space="preserve">Rate_max</t>
  </si>
  <si>
    <t xml:space="preserve">Saldo_min_eligible_IDR</t>
  </si>
  <si>
    <t xml:space="preserve">TAKA Online</t>
  </si>
  <si>
    <t xml:space="preserve">Deposito Online</t>
  </si>
  <si>
    <t xml:space="preserve">Catatan: rentang Rate_min/Rate_max adalah batas guardrail. Agent TIDAK BOLEH merekomendasikan rate di luar rentang ini.</t>
  </si>
  <si>
    <t xml:space="preserve">customer_id</t>
  </si>
  <si>
    <t xml:space="preserve">saldo_rata_rata_IDR</t>
  </si>
  <si>
    <t xml:space="preserve">produk_dimiliki</t>
  </si>
  <si>
    <t xml:space="preserve">jumlah_transaksi_bulanan</t>
  </si>
  <si>
    <t xml:space="preserve">jam_transaksi_favorit</t>
  </si>
  <si>
    <t xml:space="preserve">tenor_preference_bulan</t>
  </si>
  <si>
    <t xml:space="preserve">engagement_score_1_100</t>
  </si>
  <si>
    <t xml:space="preserve">target_produk</t>
  </si>
  <si>
    <t xml:space="preserve">eligible</t>
  </si>
  <si>
    <t xml:space="preserve">rate_tier_direkomendasikan</t>
  </si>
  <si>
    <t xml:space="preserve">rate_direkomendasikan</t>
  </si>
  <si>
    <t xml:space="preserve">CUST-001</t>
  </si>
  <si>
    <t xml:space="preserve">Tabungan, Kartu Kredit</t>
  </si>
  <si>
    <t xml:space="preserve">19:00-21:00</t>
  </si>
  <si>
    <t xml:space="preserve">CUST-002</t>
  </si>
  <si>
    <t xml:space="preserve">Tabungan</t>
  </si>
  <si>
    <t xml:space="preserve">08:00-10:00</t>
  </si>
  <si>
    <t xml:space="preserve">CUST-003</t>
  </si>
  <si>
    <t xml:space="preserve">Tabungan, KPR</t>
  </si>
  <si>
    <t xml:space="preserve">12:00-13:00</t>
  </si>
  <si>
    <t xml:space="preserve">CUST-004</t>
  </si>
  <si>
    <t xml:space="preserve">20:00-22:00</t>
  </si>
  <si>
    <t xml:space="preserve">CUST-005</t>
  </si>
  <si>
    <t xml:space="preserve">CUST-006</t>
  </si>
  <si>
    <t xml:space="preserve">Tabungan, Deposito</t>
  </si>
  <si>
    <t xml:space="preserve">09:00-11:00</t>
  </si>
  <si>
    <t xml:space="preserve">CUST-007</t>
  </si>
  <si>
    <t xml:space="preserve">21:00-23:00</t>
  </si>
  <si>
    <t xml:space="preserve">CUST-008</t>
  </si>
  <si>
    <t xml:space="preserve">Tabungan, KPR, Kartu Kredit</t>
  </si>
  <si>
    <t xml:space="preserve">18:00-20:00</t>
  </si>
  <si>
    <t xml:space="preserve">CUST-009</t>
  </si>
  <si>
    <t xml:space="preserve">10:00-12:00</t>
  </si>
  <si>
    <t xml:space="preserve">CUST-010</t>
  </si>
  <si>
    <t xml:space="preserve">CUST-011</t>
  </si>
  <si>
    <t xml:space="preserve">07:00-09:00</t>
  </si>
  <si>
    <t xml:space="preserve">CUST-012</t>
  </si>
  <si>
    <t xml:space="preserve">Tabungan, Deposito, KPR</t>
  </si>
  <si>
    <t xml:space="preserve">CUST-013</t>
  </si>
  <si>
    <t xml:space="preserve">13:00-15:00</t>
  </si>
  <si>
    <t xml:space="preserve">CUST-014</t>
  </si>
  <si>
    <t xml:space="preserve">CUST-015</t>
  </si>
  <si>
    <t xml:space="preserve">CUST-016</t>
  </si>
  <si>
    <t xml:space="preserve">CUST-017</t>
  </si>
  <si>
    <t xml:space="preserve">22:00-23:00</t>
  </si>
  <si>
    <t xml:space="preserve">CUST-018</t>
  </si>
  <si>
    <t xml:space="preserve">12:00-14:00</t>
  </si>
  <si>
    <t xml:space="preserve">CUST-019</t>
  </si>
  <si>
    <t xml:space="preserve">CUST-020</t>
  </si>
  <si>
    <t xml:space="preserve">Tabungan, Deposito, Kartu Kredit</t>
  </si>
  <si>
    <t xml:space="preserve">Legenda: kolom biru = input dummy (edit bebas untuk demo). Kolom hitam (eligible, tier, rate) = formula otomatis dari Pricing_Rules — jangan diedit manual.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</si>
</sst>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sz val="11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C00000"/>
        <bgColor rgb="FF8000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6"/>
    <col collapsed="false" customWidth="true" hidden="false" outlineLevel="0" max="5" min="4" style="0" width="12"/>
    <col collapsed="false" customWidth="true" hidden="false" outlineLevel="0" max="6" min="6" style="0" width="20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</row>
    <row r="3" customFormat="false" ht="26.8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customFormat="false" ht="15" hidden="false" customHeight="false" outlineLevel="0" collapsed="false">
      <c r="A4" s="3" t="s">
        <v>7</v>
      </c>
      <c r="B4" s="4" t="n">
        <v>6</v>
      </c>
      <c r="C4" s="4" t="n">
        <v>120</v>
      </c>
      <c r="D4" s="5" t="n">
        <v>0.035</v>
      </c>
      <c r="E4" s="5" t="n">
        <v>0.0475</v>
      </c>
      <c r="F4" s="4" t="n">
        <v>2000000</v>
      </c>
    </row>
    <row r="5" customFormat="false" ht="15" hidden="false" customHeight="false" outlineLevel="0" collapsed="false">
      <c r="A5" s="3" t="s">
        <v>8</v>
      </c>
      <c r="B5" s="4" t="n">
        <v>1</v>
      </c>
      <c r="C5" s="4" t="n">
        <v>12</v>
      </c>
      <c r="D5" s="5" t="n">
        <v>0.03</v>
      </c>
      <c r="E5" s="5" t="n">
        <v>0.05</v>
      </c>
      <c r="F5" s="4" t="n">
        <v>1000000</v>
      </c>
    </row>
    <row r="7" customFormat="false" ht="15" hidden="false" customHeight="false" outlineLevel="0" collapsed="false">
      <c r="A7" s="6" t="s">
        <v>9</v>
      </c>
      <c r="B7" s="6"/>
      <c r="C7" s="6"/>
      <c r="D7" s="6"/>
      <c r="E7" s="6"/>
      <c r="F7" s="6"/>
    </row>
  </sheetData>
  <mergeCells count="2">
    <mergeCell ref="A1:F1"/>
    <mergeCell ref="A7:F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24"/>
    <col collapsed="false" customWidth="true" hidden="false" outlineLevel="0" max="4" min="4" style="0" width="14"/>
    <col collapsed="false" customWidth="true" hidden="false" outlineLevel="0" max="8" min="5" style="0" width="16"/>
    <col collapsed="false" customWidth="true" hidden="false" outlineLevel="0" max="9" min="9" style="0" width="10"/>
    <col collapsed="false" customWidth="true" hidden="false" outlineLevel="0" max="10" min="10" style="0" width="20"/>
    <col collapsed="false" customWidth="true" hidden="false" outlineLevel="0" max="11" min="11" style="0" width="16"/>
  </cols>
  <sheetData>
    <row r="1" customFormat="false" ht="26.85" hidden="false" customHeight="false" outlineLevel="0" collapsed="false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20</v>
      </c>
    </row>
    <row r="2" customFormat="false" ht="15" hidden="false" customHeight="false" outlineLevel="0" collapsed="false">
      <c r="A2" s="3" t="s">
        <v>21</v>
      </c>
      <c r="B2" s="4" t="n">
        <v>25000000</v>
      </c>
      <c r="C2" s="3" t="s">
        <v>22</v>
      </c>
      <c r="D2" s="3" t="n">
        <v>22</v>
      </c>
      <c r="E2" s="3" t="s">
        <v>23</v>
      </c>
      <c r="F2" s="3" t="n">
        <v>12</v>
      </c>
      <c r="G2" s="3" t="n">
        <v>88</v>
      </c>
      <c r="H2" s="3" t="s">
        <v>7</v>
      </c>
      <c r="I2" s="7" t="str">
        <f aca="false">IF(AND($B2&gt;=INDEX(Pricing_Rules!$F$4:$F$5,MATCH($H2,Pricing_Rules!$A$4:$A$5,0)),$F2&gt;=INDEX(Pricing_Rules!$B$4:$B$5,MATCH($H2,Pricing_Rules!$A$4:$A$5,0)),$F2&lt;=INDEX(Pricing_Rules!$C$4:$C$5,MATCH($H2,Pricing_Rules!$A$4:$A$5,0))),"Ya","Tidak")</f>
        <v>Ya</v>
      </c>
      <c r="J2" s="7" t="str">
        <f aca="false">IF($I2="Tidak","Tidak Eligible",IF($G2&gt;=80,"Premium",IF($G2&gt;=50,"Standard Plus","Standard")))</f>
        <v>Premium</v>
      </c>
      <c r="K2" s="8" t="n">
        <f aca="false">IF($I2="Tidak","-",IF($J2="Premium",INDEX(Pricing_Rules!$E$4:$E$5,MATCH($H2,Pricing_Rules!$A$4:$A$5,0)),IF($J2="Standard Plus",(INDEX(Pricing_Rules!$D$4:$D$5,MATCH($H2,Pricing_Rules!$A$4:$A$5,0))+INDEX(Pricing_Rules!$E$4:$E$5,MATCH($H2,Pricing_Rules!$A$4:$A$5,0)))/2,INDEX(Pricing_Rules!$D$4:$D$5,MATCH($H2,Pricing_Rules!$A$4:$A$5,0)))))</f>
        <v>0.0475</v>
      </c>
    </row>
    <row r="3" customFormat="false" ht="15" hidden="false" customHeight="false" outlineLevel="0" collapsed="false">
      <c r="A3" s="3" t="s">
        <v>24</v>
      </c>
      <c r="B3" s="4" t="n">
        <v>1500000</v>
      </c>
      <c r="C3" s="3" t="s">
        <v>25</v>
      </c>
      <c r="D3" s="3" t="n">
        <v>4</v>
      </c>
      <c r="E3" s="3" t="s">
        <v>26</v>
      </c>
      <c r="F3" s="3" t="n">
        <v>3</v>
      </c>
      <c r="G3" s="3" t="n">
        <v>30</v>
      </c>
      <c r="H3" s="3" t="s">
        <v>8</v>
      </c>
      <c r="I3" s="7" t="str">
        <f aca="false">IF(AND($B3&gt;=INDEX(Pricing_Rules!$F$4:$F$5,MATCH($H3,Pricing_Rules!$A$4:$A$5,0)),$F3&gt;=INDEX(Pricing_Rules!$B$4:$B$5,MATCH($H3,Pricing_Rules!$A$4:$A$5,0)),$F3&lt;=INDEX(Pricing_Rules!$C$4:$C$5,MATCH($H3,Pricing_Rules!$A$4:$A$5,0))),"Ya","Tidak")</f>
        <v>Ya</v>
      </c>
      <c r="J3" s="7" t="str">
        <f aca="false">IF($I3="Tidak","Tidak Eligible",IF($G3&gt;=80,"Premium",IF($G3&gt;=50,"Standard Plus","Standard")))</f>
        <v>Standard</v>
      </c>
      <c r="K3" s="8" t="n">
        <f aca="false">IF($I3="Tidak","-",IF($J3="Premium",INDEX(Pricing_Rules!$E$4:$E$5,MATCH($H3,Pricing_Rules!$A$4:$A$5,0)),IF($J3="Standard Plus",(INDEX(Pricing_Rules!$D$4:$D$5,MATCH($H3,Pricing_Rules!$A$4:$A$5,0))+INDEX(Pricing_Rules!$E$4:$E$5,MATCH($H3,Pricing_Rules!$A$4:$A$5,0)))/2,INDEX(Pricing_Rules!$D$4:$D$5,MATCH($H3,Pricing_Rules!$A$4:$A$5,0)))))</f>
        <v>0.03</v>
      </c>
    </row>
    <row r="4" customFormat="false" ht="15" hidden="false" customHeight="false" outlineLevel="0" collapsed="false">
      <c r="A4" s="3" t="s">
        <v>27</v>
      </c>
      <c r="B4" s="4" t="n">
        <v>60000000</v>
      </c>
      <c r="C4" s="3" t="s">
        <v>28</v>
      </c>
      <c r="D4" s="3" t="n">
        <v>15</v>
      </c>
      <c r="E4" s="3" t="s">
        <v>29</v>
      </c>
      <c r="F4" s="3" t="n">
        <v>24</v>
      </c>
      <c r="G4" s="3" t="n">
        <v>95</v>
      </c>
      <c r="H4" s="3" t="s">
        <v>7</v>
      </c>
      <c r="I4" s="7" t="str">
        <f aca="false">IF(AND($B4&gt;=INDEX(Pricing_Rules!$F$4:$F$5,MATCH($H4,Pricing_Rules!$A$4:$A$5,0)),$F4&gt;=INDEX(Pricing_Rules!$B$4:$B$5,MATCH($H4,Pricing_Rules!$A$4:$A$5,0)),$F4&lt;=INDEX(Pricing_Rules!$C$4:$C$5,MATCH($H4,Pricing_Rules!$A$4:$A$5,0))),"Ya","Tidak")</f>
        <v>Ya</v>
      </c>
      <c r="J4" s="7" t="str">
        <f aca="false">IF($I4="Tidak","Tidak Eligible",IF($G4&gt;=80,"Premium",IF($G4&gt;=50,"Standard Plus","Standard")))</f>
        <v>Premium</v>
      </c>
      <c r="K4" s="8" t="n">
        <f aca="false">IF($I4="Tidak","-",IF($J4="Premium",INDEX(Pricing_Rules!$E$4:$E$5,MATCH($H4,Pricing_Rules!$A$4:$A$5,0)),IF($J4="Standard Plus",(INDEX(Pricing_Rules!$D$4:$D$5,MATCH($H4,Pricing_Rules!$A$4:$A$5,0))+INDEX(Pricing_Rules!$E$4:$E$5,MATCH($H4,Pricing_Rules!$A$4:$A$5,0)))/2,INDEX(Pricing_Rules!$D$4:$D$5,MATCH($H4,Pricing_Rules!$A$4:$A$5,0)))))</f>
        <v>0.0475</v>
      </c>
    </row>
    <row r="5" customFormat="false" ht="15" hidden="false" customHeight="false" outlineLevel="0" collapsed="false">
      <c r="A5" s="3" t="s">
        <v>30</v>
      </c>
      <c r="B5" s="4" t="n">
        <v>800000</v>
      </c>
      <c r="C5" s="3" t="s">
        <v>25</v>
      </c>
      <c r="D5" s="3" t="n">
        <v>2</v>
      </c>
      <c r="E5" s="3" t="s">
        <v>31</v>
      </c>
      <c r="F5" s="3" t="n">
        <v>1</v>
      </c>
      <c r="G5" s="3" t="n">
        <v>15</v>
      </c>
      <c r="H5" s="3" t="s">
        <v>8</v>
      </c>
      <c r="I5" s="7" t="str">
        <f aca="false">IF(AND($B5&gt;=INDEX(Pricing_Rules!$F$4:$F$5,MATCH($H5,Pricing_Rules!$A$4:$A$5,0)),$F5&gt;=INDEX(Pricing_Rules!$B$4:$B$5,MATCH($H5,Pricing_Rules!$A$4:$A$5,0)),$F5&lt;=INDEX(Pricing_Rules!$C$4:$C$5,MATCH($H5,Pricing_Rules!$A$4:$A$5,0))),"Ya","Tidak")</f>
        <v>Tidak</v>
      </c>
      <c r="J5" s="7" t="str">
        <f aca="false">IF($I5="Tidak","Tidak Eligible",IF($G5&gt;=80,"Premium",IF($G5&gt;=50,"Standard Plus","Standard")))</f>
        <v>Tidak Eligible</v>
      </c>
      <c r="K5" s="8" t="str">
        <f aca="false">IF($I5="Tidak","-",IF($J5="Premium",INDEX(Pricing_Rules!$E$4:$E$5,MATCH($H5,Pricing_Rules!$A$4:$A$5,0)),IF($J5="Standard Plus",(INDEX(Pricing_Rules!$D$4:$D$5,MATCH($H5,Pricing_Rules!$A$4:$A$5,0))+INDEX(Pricing_Rules!$E$4:$E$5,MATCH($H5,Pricing_Rules!$A$4:$A$5,0)))/2,INDEX(Pricing_Rules!$D$4:$D$5,MATCH($H5,Pricing_Rules!$A$4:$A$5,0)))))</f>
        <v>-</v>
      </c>
    </row>
    <row r="6" customFormat="false" ht="15" hidden="false" customHeight="false" outlineLevel="0" collapsed="false">
      <c r="A6" s="3" t="s">
        <v>32</v>
      </c>
      <c r="B6" s="4" t="n">
        <v>5000000</v>
      </c>
      <c r="C6" s="3" t="s">
        <v>22</v>
      </c>
      <c r="D6" s="3" t="n">
        <v>10</v>
      </c>
      <c r="E6" s="3" t="s">
        <v>23</v>
      </c>
      <c r="F6" s="3" t="n">
        <v>6</v>
      </c>
      <c r="G6" s="3" t="n">
        <v>55</v>
      </c>
      <c r="H6" s="3" t="s">
        <v>7</v>
      </c>
      <c r="I6" s="7" t="str">
        <f aca="false">IF(AND($B6&gt;=INDEX(Pricing_Rules!$F$4:$F$5,MATCH($H6,Pricing_Rules!$A$4:$A$5,0)),$F6&gt;=INDEX(Pricing_Rules!$B$4:$B$5,MATCH($H6,Pricing_Rules!$A$4:$A$5,0)),$F6&lt;=INDEX(Pricing_Rules!$C$4:$C$5,MATCH($H6,Pricing_Rules!$A$4:$A$5,0))),"Ya","Tidak")</f>
        <v>Ya</v>
      </c>
      <c r="J6" s="7" t="str">
        <f aca="false">IF($I6="Tidak","Tidak Eligible",IF($G6&gt;=80,"Premium",IF($G6&gt;=50,"Standard Plus","Standard")))</f>
        <v>Standard Plus</v>
      </c>
      <c r="K6" s="8" t="n">
        <f aca="false">IF($I6="Tidak","-",IF($J6="Premium",INDEX(Pricing_Rules!$E$4:$E$5,MATCH($H6,Pricing_Rules!$A$4:$A$5,0)),IF($J6="Standard Plus",(INDEX(Pricing_Rules!$D$4:$D$5,MATCH($H6,Pricing_Rules!$A$4:$A$5,0))+INDEX(Pricing_Rules!$E$4:$E$5,MATCH($H6,Pricing_Rules!$A$4:$A$5,0)))/2,INDEX(Pricing_Rules!$D$4:$D$5,MATCH($H6,Pricing_Rules!$A$4:$A$5,0)))))</f>
        <v>0.04125</v>
      </c>
    </row>
    <row r="7" customFormat="false" ht="15" hidden="false" customHeight="false" outlineLevel="0" collapsed="false">
      <c r="A7" s="3" t="s">
        <v>33</v>
      </c>
      <c r="B7" s="4" t="n">
        <v>120000000</v>
      </c>
      <c r="C7" s="3" t="s">
        <v>34</v>
      </c>
      <c r="D7" s="3" t="n">
        <v>8</v>
      </c>
      <c r="E7" s="3" t="s">
        <v>35</v>
      </c>
      <c r="F7" s="3" t="n">
        <v>12</v>
      </c>
      <c r="G7" s="3" t="n">
        <v>90</v>
      </c>
      <c r="H7" s="3" t="s">
        <v>8</v>
      </c>
      <c r="I7" s="7" t="str">
        <f aca="false">IF(AND($B7&gt;=INDEX(Pricing_Rules!$F$4:$F$5,MATCH($H7,Pricing_Rules!$A$4:$A$5,0)),$F7&gt;=INDEX(Pricing_Rules!$B$4:$B$5,MATCH($H7,Pricing_Rules!$A$4:$A$5,0)),$F7&lt;=INDEX(Pricing_Rules!$C$4:$C$5,MATCH($H7,Pricing_Rules!$A$4:$A$5,0))),"Ya","Tidak")</f>
        <v>Ya</v>
      </c>
      <c r="J7" s="7" t="str">
        <f aca="false">IF($I7="Tidak","Tidak Eligible",IF($G7&gt;=80,"Premium",IF($G7&gt;=50,"Standard Plus","Standard")))</f>
        <v>Premium</v>
      </c>
      <c r="K7" s="8" t="n">
        <f aca="false">IF($I7="Tidak","-",IF($J7="Premium",INDEX(Pricing_Rules!$E$4:$E$5,MATCH($H7,Pricing_Rules!$A$4:$A$5,0)),IF($J7="Standard Plus",(INDEX(Pricing_Rules!$D$4:$D$5,MATCH($H7,Pricing_Rules!$A$4:$A$5,0))+INDEX(Pricing_Rules!$E$4:$E$5,MATCH($H7,Pricing_Rules!$A$4:$A$5,0)))/2,INDEX(Pricing_Rules!$D$4:$D$5,MATCH($H7,Pricing_Rules!$A$4:$A$5,0)))))</f>
        <v>0.05</v>
      </c>
    </row>
    <row r="8" customFormat="false" ht="15" hidden="false" customHeight="false" outlineLevel="0" collapsed="false">
      <c r="A8" s="3" t="s">
        <v>36</v>
      </c>
      <c r="B8" s="4" t="n">
        <v>3200000</v>
      </c>
      <c r="C8" s="3" t="s">
        <v>25</v>
      </c>
      <c r="D8" s="3" t="n">
        <v>6</v>
      </c>
      <c r="E8" s="3" t="s">
        <v>37</v>
      </c>
      <c r="F8" s="3" t="n">
        <v>6</v>
      </c>
      <c r="G8" s="3" t="n">
        <v>40</v>
      </c>
      <c r="H8" s="3" t="s">
        <v>7</v>
      </c>
      <c r="I8" s="7" t="str">
        <f aca="false">IF(AND($B8&gt;=INDEX(Pricing_Rules!$F$4:$F$5,MATCH($H8,Pricing_Rules!$A$4:$A$5,0)),$F8&gt;=INDEX(Pricing_Rules!$B$4:$B$5,MATCH($H8,Pricing_Rules!$A$4:$A$5,0)),$F8&lt;=INDEX(Pricing_Rules!$C$4:$C$5,MATCH($H8,Pricing_Rules!$A$4:$A$5,0))),"Ya","Tidak")</f>
        <v>Ya</v>
      </c>
      <c r="J8" s="7" t="str">
        <f aca="false">IF($I8="Tidak","Tidak Eligible",IF($G8&gt;=80,"Premium",IF($G8&gt;=50,"Standard Plus","Standard")))</f>
        <v>Standard</v>
      </c>
      <c r="K8" s="8" t="n">
        <f aca="false">IF($I8="Tidak","-",IF($J8="Premium",INDEX(Pricing_Rules!$E$4:$E$5,MATCH($H8,Pricing_Rules!$A$4:$A$5,0)),IF($J8="Standard Plus",(INDEX(Pricing_Rules!$D$4:$D$5,MATCH($H8,Pricing_Rules!$A$4:$A$5,0))+INDEX(Pricing_Rules!$E$4:$E$5,MATCH($H8,Pricing_Rules!$A$4:$A$5,0)))/2,INDEX(Pricing_Rules!$D$4:$D$5,MATCH($H8,Pricing_Rules!$A$4:$A$5,0)))))</f>
        <v>0.035</v>
      </c>
    </row>
    <row r="9" customFormat="false" ht="15" hidden="false" customHeight="false" outlineLevel="0" collapsed="false">
      <c r="A9" s="3" t="s">
        <v>38</v>
      </c>
      <c r="B9" s="4" t="n">
        <v>45000000</v>
      </c>
      <c r="C9" s="3" t="s">
        <v>39</v>
      </c>
      <c r="D9" s="3" t="n">
        <v>18</v>
      </c>
      <c r="E9" s="3" t="s">
        <v>40</v>
      </c>
      <c r="F9" s="3" t="n">
        <v>36</v>
      </c>
      <c r="G9" s="3" t="n">
        <v>82</v>
      </c>
      <c r="H9" s="3" t="s">
        <v>7</v>
      </c>
      <c r="I9" s="7" t="str">
        <f aca="false">IF(AND($B9&gt;=INDEX(Pricing_Rules!$F$4:$F$5,MATCH($H9,Pricing_Rules!$A$4:$A$5,0)),$F9&gt;=INDEX(Pricing_Rules!$B$4:$B$5,MATCH($H9,Pricing_Rules!$A$4:$A$5,0)),$F9&lt;=INDEX(Pricing_Rules!$C$4:$C$5,MATCH($H9,Pricing_Rules!$A$4:$A$5,0))),"Ya","Tidak")</f>
        <v>Ya</v>
      </c>
      <c r="J9" s="7" t="str">
        <f aca="false">IF($I9="Tidak","Tidak Eligible",IF($G9&gt;=80,"Premium",IF($G9&gt;=50,"Standard Plus","Standard")))</f>
        <v>Premium</v>
      </c>
      <c r="K9" s="8" t="n">
        <f aca="false">IF($I9="Tidak","-",IF($J9="Premium",INDEX(Pricing_Rules!$E$4:$E$5,MATCH($H9,Pricing_Rules!$A$4:$A$5,0)),IF($J9="Standard Plus",(INDEX(Pricing_Rules!$D$4:$D$5,MATCH($H9,Pricing_Rules!$A$4:$A$5,0))+INDEX(Pricing_Rules!$E$4:$E$5,MATCH($H9,Pricing_Rules!$A$4:$A$5,0)))/2,INDEX(Pricing_Rules!$D$4:$D$5,MATCH($H9,Pricing_Rules!$A$4:$A$5,0)))))</f>
        <v>0.0475</v>
      </c>
    </row>
    <row r="10" customFormat="false" ht="15" hidden="false" customHeight="false" outlineLevel="0" collapsed="false">
      <c r="A10" s="3" t="s">
        <v>41</v>
      </c>
      <c r="B10" s="4" t="n">
        <v>900000</v>
      </c>
      <c r="C10" s="3" t="s">
        <v>25</v>
      </c>
      <c r="D10" s="3" t="n">
        <v>1</v>
      </c>
      <c r="E10" s="3" t="s">
        <v>42</v>
      </c>
      <c r="F10" s="3" t="n">
        <v>1</v>
      </c>
      <c r="G10" s="3" t="n">
        <v>10</v>
      </c>
      <c r="H10" s="3" t="s">
        <v>8</v>
      </c>
      <c r="I10" s="7" t="str">
        <f aca="false">IF(AND($B10&gt;=INDEX(Pricing_Rules!$F$4:$F$5,MATCH($H10,Pricing_Rules!$A$4:$A$5,0)),$F10&gt;=INDEX(Pricing_Rules!$B$4:$B$5,MATCH($H10,Pricing_Rules!$A$4:$A$5,0)),$F10&lt;=INDEX(Pricing_Rules!$C$4:$C$5,MATCH($H10,Pricing_Rules!$A$4:$A$5,0))),"Ya","Tidak")</f>
        <v>Tidak</v>
      </c>
      <c r="J10" s="7" t="str">
        <f aca="false">IF($I10="Tidak","Tidak Eligible",IF($G10&gt;=80,"Premium",IF($G10&gt;=50,"Standard Plus","Standard")))</f>
        <v>Tidak Eligible</v>
      </c>
      <c r="K10" s="8" t="str">
        <f aca="false">IF($I10="Tidak","-",IF($J10="Premium",INDEX(Pricing_Rules!$E$4:$E$5,MATCH($H10,Pricing_Rules!$A$4:$A$5,0)),IF($J10="Standard Plus",(INDEX(Pricing_Rules!$D$4:$D$5,MATCH($H10,Pricing_Rules!$A$4:$A$5,0))+INDEX(Pricing_Rules!$E$4:$E$5,MATCH($H10,Pricing_Rules!$A$4:$A$5,0)))/2,INDEX(Pricing_Rules!$D$4:$D$5,MATCH($H10,Pricing_Rules!$A$4:$A$5,0)))))</f>
        <v>-</v>
      </c>
    </row>
    <row r="11" customFormat="false" ht="15" hidden="false" customHeight="false" outlineLevel="0" collapsed="false">
      <c r="A11" s="3" t="s">
        <v>43</v>
      </c>
      <c r="B11" s="4" t="n">
        <v>15000000</v>
      </c>
      <c r="C11" s="3" t="s">
        <v>22</v>
      </c>
      <c r="D11" s="3" t="n">
        <v>14</v>
      </c>
      <c r="E11" s="3" t="s">
        <v>23</v>
      </c>
      <c r="F11" s="3" t="n">
        <v>6</v>
      </c>
      <c r="G11" s="3" t="n">
        <v>60</v>
      </c>
      <c r="H11" s="3" t="s">
        <v>8</v>
      </c>
      <c r="I11" s="7" t="str">
        <f aca="false">IF(AND($B11&gt;=INDEX(Pricing_Rules!$F$4:$F$5,MATCH($H11,Pricing_Rules!$A$4:$A$5,0)),$F11&gt;=INDEX(Pricing_Rules!$B$4:$B$5,MATCH($H11,Pricing_Rules!$A$4:$A$5,0)),$F11&lt;=INDEX(Pricing_Rules!$C$4:$C$5,MATCH($H11,Pricing_Rules!$A$4:$A$5,0))),"Ya","Tidak")</f>
        <v>Ya</v>
      </c>
      <c r="J11" s="7" t="str">
        <f aca="false">IF($I11="Tidak","Tidak Eligible",IF($G11&gt;=80,"Premium",IF($G11&gt;=50,"Standard Plus","Standard")))</f>
        <v>Standard Plus</v>
      </c>
      <c r="K11" s="8" t="n">
        <f aca="false">IF($I11="Tidak","-",IF($J11="Premium",INDEX(Pricing_Rules!$E$4:$E$5,MATCH($H11,Pricing_Rules!$A$4:$A$5,0)),IF($J11="Standard Plus",(INDEX(Pricing_Rules!$D$4:$D$5,MATCH($H11,Pricing_Rules!$A$4:$A$5,0))+INDEX(Pricing_Rules!$E$4:$E$5,MATCH($H11,Pricing_Rules!$A$4:$A$5,0)))/2,INDEX(Pricing_Rules!$D$4:$D$5,MATCH($H11,Pricing_Rules!$A$4:$A$5,0)))))</f>
        <v>0.04</v>
      </c>
    </row>
    <row r="12" customFormat="false" ht="15" hidden="false" customHeight="false" outlineLevel="0" collapsed="false">
      <c r="A12" s="3" t="s">
        <v>44</v>
      </c>
      <c r="B12" s="4" t="n">
        <v>2500000</v>
      </c>
      <c r="C12" s="3" t="s">
        <v>25</v>
      </c>
      <c r="D12" s="3" t="n">
        <v>5</v>
      </c>
      <c r="E12" s="3" t="s">
        <v>45</v>
      </c>
      <c r="F12" s="3" t="n">
        <v>6</v>
      </c>
      <c r="G12" s="3" t="n">
        <v>35</v>
      </c>
      <c r="H12" s="3" t="s">
        <v>7</v>
      </c>
      <c r="I12" s="7" t="str">
        <f aca="false">IF(AND($B12&gt;=INDEX(Pricing_Rules!$F$4:$F$5,MATCH($H12,Pricing_Rules!$A$4:$A$5,0)),$F12&gt;=INDEX(Pricing_Rules!$B$4:$B$5,MATCH($H12,Pricing_Rules!$A$4:$A$5,0)),$F12&lt;=INDEX(Pricing_Rules!$C$4:$C$5,MATCH($H12,Pricing_Rules!$A$4:$A$5,0))),"Ya","Tidak")</f>
        <v>Ya</v>
      </c>
      <c r="J12" s="7" t="str">
        <f aca="false">IF($I12="Tidak","Tidak Eligible",IF($G12&gt;=80,"Premium",IF($G12&gt;=50,"Standard Plus","Standard")))</f>
        <v>Standard</v>
      </c>
      <c r="K12" s="8" t="n">
        <f aca="false">IF($I12="Tidak","-",IF($J12="Premium",INDEX(Pricing_Rules!$E$4:$E$5,MATCH($H12,Pricing_Rules!$A$4:$A$5,0)),IF($J12="Standard Plus",(INDEX(Pricing_Rules!$D$4:$D$5,MATCH($H12,Pricing_Rules!$A$4:$A$5,0))+INDEX(Pricing_Rules!$E$4:$E$5,MATCH($H12,Pricing_Rules!$A$4:$A$5,0)))/2,INDEX(Pricing_Rules!$D$4:$D$5,MATCH($H12,Pricing_Rules!$A$4:$A$5,0)))))</f>
        <v>0.035</v>
      </c>
    </row>
    <row r="13" customFormat="false" ht="15" hidden="false" customHeight="false" outlineLevel="0" collapsed="false">
      <c r="A13" s="3" t="s">
        <v>46</v>
      </c>
      <c r="B13" s="4" t="n">
        <v>200000000</v>
      </c>
      <c r="C13" s="3" t="s">
        <v>47</v>
      </c>
      <c r="D13" s="3" t="n">
        <v>25</v>
      </c>
      <c r="E13" s="3" t="s">
        <v>31</v>
      </c>
      <c r="F13" s="3" t="n">
        <v>12</v>
      </c>
      <c r="G13" s="3" t="n">
        <v>97</v>
      </c>
      <c r="H13" s="3" t="s">
        <v>8</v>
      </c>
      <c r="I13" s="7" t="str">
        <f aca="false">IF(AND($B13&gt;=INDEX(Pricing_Rules!$F$4:$F$5,MATCH($H13,Pricing_Rules!$A$4:$A$5,0)),$F13&gt;=INDEX(Pricing_Rules!$B$4:$B$5,MATCH($H13,Pricing_Rules!$A$4:$A$5,0)),$F13&lt;=INDEX(Pricing_Rules!$C$4:$C$5,MATCH($H13,Pricing_Rules!$A$4:$A$5,0))),"Ya","Tidak")</f>
        <v>Ya</v>
      </c>
      <c r="J13" s="7" t="str">
        <f aca="false">IF($I13="Tidak","Tidak Eligible",IF($G13&gt;=80,"Premium",IF($G13&gt;=50,"Standard Plus","Standard")))</f>
        <v>Premium</v>
      </c>
      <c r="K13" s="8" t="n">
        <f aca="false">IF($I13="Tidak","-",IF($J13="Premium",INDEX(Pricing_Rules!$E$4:$E$5,MATCH($H13,Pricing_Rules!$A$4:$A$5,0)),IF($J13="Standard Plus",(INDEX(Pricing_Rules!$D$4:$D$5,MATCH($H13,Pricing_Rules!$A$4:$A$5,0))+INDEX(Pricing_Rules!$E$4:$E$5,MATCH($H13,Pricing_Rules!$A$4:$A$5,0)))/2,INDEX(Pricing_Rules!$D$4:$D$5,MATCH($H13,Pricing_Rules!$A$4:$A$5,0)))))</f>
        <v>0.05</v>
      </c>
    </row>
    <row r="14" customFormat="false" ht="15" hidden="false" customHeight="false" outlineLevel="0" collapsed="false">
      <c r="A14" s="3" t="s">
        <v>48</v>
      </c>
      <c r="B14" s="4" t="n">
        <v>700000</v>
      </c>
      <c r="C14" s="3" t="s">
        <v>25</v>
      </c>
      <c r="D14" s="3" t="n">
        <v>3</v>
      </c>
      <c r="E14" s="3" t="s">
        <v>49</v>
      </c>
      <c r="F14" s="3" t="n">
        <v>6</v>
      </c>
      <c r="G14" s="3" t="n">
        <v>20</v>
      </c>
      <c r="H14" s="3" t="s">
        <v>7</v>
      </c>
      <c r="I14" s="7" t="str">
        <f aca="false">IF(AND($B14&gt;=INDEX(Pricing_Rules!$F$4:$F$5,MATCH($H14,Pricing_Rules!$A$4:$A$5,0)),$F14&gt;=INDEX(Pricing_Rules!$B$4:$B$5,MATCH($H14,Pricing_Rules!$A$4:$A$5,0)),$F14&lt;=INDEX(Pricing_Rules!$C$4:$C$5,MATCH($H14,Pricing_Rules!$A$4:$A$5,0))),"Ya","Tidak")</f>
        <v>Tidak</v>
      </c>
      <c r="J14" s="7" t="str">
        <f aca="false">IF($I14="Tidak","Tidak Eligible",IF($G14&gt;=80,"Premium",IF($G14&gt;=50,"Standard Plus","Standard")))</f>
        <v>Tidak Eligible</v>
      </c>
      <c r="K14" s="8" t="str">
        <f aca="false">IF($I14="Tidak","-",IF($J14="Premium",INDEX(Pricing_Rules!$E$4:$E$5,MATCH($H14,Pricing_Rules!$A$4:$A$5,0)),IF($J14="Standard Plus",(INDEX(Pricing_Rules!$D$4:$D$5,MATCH($H14,Pricing_Rules!$A$4:$A$5,0))+INDEX(Pricing_Rules!$E$4:$E$5,MATCH($H14,Pricing_Rules!$A$4:$A$5,0)))/2,INDEX(Pricing_Rules!$D$4:$D$5,MATCH($H14,Pricing_Rules!$A$4:$A$5,0)))))</f>
        <v>-</v>
      </c>
    </row>
    <row r="15" customFormat="false" ht="15" hidden="false" customHeight="false" outlineLevel="0" collapsed="false">
      <c r="A15" s="3" t="s">
        <v>50</v>
      </c>
      <c r="B15" s="4" t="n">
        <v>32000000</v>
      </c>
      <c r="C15" s="3" t="s">
        <v>22</v>
      </c>
      <c r="D15" s="3" t="n">
        <v>20</v>
      </c>
      <c r="E15" s="3" t="s">
        <v>23</v>
      </c>
      <c r="F15" s="3" t="n">
        <v>24</v>
      </c>
      <c r="G15" s="3" t="n">
        <v>78</v>
      </c>
      <c r="H15" s="3" t="s">
        <v>7</v>
      </c>
      <c r="I15" s="7" t="str">
        <f aca="false">IF(AND($B15&gt;=INDEX(Pricing_Rules!$F$4:$F$5,MATCH($H15,Pricing_Rules!$A$4:$A$5,0)),$F15&gt;=INDEX(Pricing_Rules!$B$4:$B$5,MATCH($H15,Pricing_Rules!$A$4:$A$5,0)),$F15&lt;=INDEX(Pricing_Rules!$C$4:$C$5,MATCH($H15,Pricing_Rules!$A$4:$A$5,0))),"Ya","Tidak")</f>
        <v>Ya</v>
      </c>
      <c r="J15" s="7" t="str">
        <f aca="false">IF($I15="Tidak","Tidak Eligible",IF($G15&gt;=80,"Premium",IF($G15&gt;=50,"Standard Plus","Standard")))</f>
        <v>Standard Plus</v>
      </c>
      <c r="K15" s="8" t="n">
        <f aca="false">IF($I15="Tidak","-",IF($J15="Premium",INDEX(Pricing_Rules!$E$4:$E$5,MATCH($H15,Pricing_Rules!$A$4:$A$5,0)),IF($J15="Standard Plus",(INDEX(Pricing_Rules!$D$4:$D$5,MATCH($H15,Pricing_Rules!$A$4:$A$5,0))+INDEX(Pricing_Rules!$E$4:$E$5,MATCH($H15,Pricing_Rules!$A$4:$A$5,0)))/2,INDEX(Pricing_Rules!$D$4:$D$5,MATCH($H15,Pricing_Rules!$A$4:$A$5,0)))))</f>
        <v>0.04125</v>
      </c>
    </row>
    <row r="16" customFormat="false" ht="15" hidden="false" customHeight="false" outlineLevel="0" collapsed="false">
      <c r="A16" s="3" t="s">
        <v>51</v>
      </c>
      <c r="B16" s="4" t="n">
        <v>4800000</v>
      </c>
      <c r="C16" s="3" t="s">
        <v>25</v>
      </c>
      <c r="D16" s="3" t="n">
        <v>9</v>
      </c>
      <c r="E16" s="3" t="s">
        <v>40</v>
      </c>
      <c r="F16" s="3" t="n">
        <v>3</v>
      </c>
      <c r="G16" s="3" t="n">
        <v>45</v>
      </c>
      <c r="H16" s="3" t="s">
        <v>8</v>
      </c>
      <c r="I16" s="7" t="str">
        <f aca="false">IF(AND($B16&gt;=INDEX(Pricing_Rules!$F$4:$F$5,MATCH($H16,Pricing_Rules!$A$4:$A$5,0)),$F16&gt;=INDEX(Pricing_Rules!$B$4:$B$5,MATCH($H16,Pricing_Rules!$A$4:$A$5,0)),$F16&lt;=INDEX(Pricing_Rules!$C$4:$C$5,MATCH($H16,Pricing_Rules!$A$4:$A$5,0))),"Ya","Tidak")</f>
        <v>Ya</v>
      </c>
      <c r="J16" s="7" t="str">
        <f aca="false">IF($I16="Tidak","Tidak Eligible",IF($G16&gt;=80,"Premium",IF($G16&gt;=50,"Standard Plus","Standard")))</f>
        <v>Standard</v>
      </c>
      <c r="K16" s="8" t="n">
        <f aca="false">IF($I16="Tidak","-",IF($J16="Premium",INDEX(Pricing_Rules!$E$4:$E$5,MATCH($H16,Pricing_Rules!$A$4:$A$5,0)),IF($J16="Standard Plus",(INDEX(Pricing_Rules!$D$4:$D$5,MATCH($H16,Pricing_Rules!$A$4:$A$5,0))+INDEX(Pricing_Rules!$E$4:$E$5,MATCH($H16,Pricing_Rules!$A$4:$A$5,0)))/2,INDEX(Pricing_Rules!$D$4:$D$5,MATCH($H16,Pricing_Rules!$A$4:$A$5,0)))))</f>
        <v>0.03</v>
      </c>
    </row>
    <row r="17" customFormat="false" ht="15" hidden="false" customHeight="false" outlineLevel="0" collapsed="false">
      <c r="A17" s="3" t="s">
        <v>52</v>
      </c>
      <c r="B17" s="4" t="n">
        <v>9000000</v>
      </c>
      <c r="C17" s="3" t="s">
        <v>22</v>
      </c>
      <c r="D17" s="3" t="n">
        <v>12</v>
      </c>
      <c r="E17" s="3" t="s">
        <v>23</v>
      </c>
      <c r="F17" s="3" t="n">
        <v>6</v>
      </c>
      <c r="G17" s="3" t="n">
        <v>58</v>
      </c>
      <c r="H17" s="3" t="s">
        <v>7</v>
      </c>
      <c r="I17" s="7" t="str">
        <f aca="false">IF(AND($B17&gt;=INDEX(Pricing_Rules!$F$4:$F$5,MATCH($H17,Pricing_Rules!$A$4:$A$5,0)),$F17&gt;=INDEX(Pricing_Rules!$B$4:$B$5,MATCH($H17,Pricing_Rules!$A$4:$A$5,0)),$F17&lt;=INDEX(Pricing_Rules!$C$4:$C$5,MATCH($H17,Pricing_Rules!$A$4:$A$5,0))),"Ya","Tidak")</f>
        <v>Ya</v>
      </c>
      <c r="J17" s="7" t="str">
        <f aca="false">IF($I17="Tidak","Tidak Eligible",IF($G17&gt;=80,"Premium",IF($G17&gt;=50,"Standard Plus","Standard")))</f>
        <v>Standard Plus</v>
      </c>
      <c r="K17" s="8" t="n">
        <f aca="false">IF($I17="Tidak","-",IF($J17="Premium",INDEX(Pricing_Rules!$E$4:$E$5,MATCH($H17,Pricing_Rules!$A$4:$A$5,0)),IF($J17="Standard Plus",(INDEX(Pricing_Rules!$D$4:$D$5,MATCH($H17,Pricing_Rules!$A$4:$A$5,0))+INDEX(Pricing_Rules!$E$4:$E$5,MATCH($H17,Pricing_Rules!$A$4:$A$5,0)))/2,INDEX(Pricing_Rules!$D$4:$D$5,MATCH($H17,Pricing_Rules!$A$4:$A$5,0)))))</f>
        <v>0.04125</v>
      </c>
    </row>
    <row r="18" customFormat="false" ht="15" hidden="false" customHeight="false" outlineLevel="0" collapsed="false">
      <c r="A18" s="3" t="s">
        <v>53</v>
      </c>
      <c r="B18" s="4" t="n">
        <v>1800000</v>
      </c>
      <c r="C18" s="3" t="s">
        <v>25</v>
      </c>
      <c r="D18" s="3" t="n">
        <v>4</v>
      </c>
      <c r="E18" s="3" t="s">
        <v>54</v>
      </c>
      <c r="F18" s="3" t="n">
        <v>1</v>
      </c>
      <c r="G18" s="3" t="n">
        <v>25</v>
      </c>
      <c r="H18" s="3" t="s">
        <v>8</v>
      </c>
      <c r="I18" s="7" t="str">
        <f aca="false">IF(AND($B18&gt;=INDEX(Pricing_Rules!$F$4:$F$5,MATCH($H18,Pricing_Rules!$A$4:$A$5,0)),$F18&gt;=INDEX(Pricing_Rules!$B$4:$B$5,MATCH($H18,Pricing_Rules!$A$4:$A$5,0)),$F18&lt;=INDEX(Pricing_Rules!$C$4:$C$5,MATCH($H18,Pricing_Rules!$A$4:$A$5,0))),"Ya","Tidak")</f>
        <v>Ya</v>
      </c>
      <c r="J18" s="7" t="str">
        <f aca="false">IF($I18="Tidak","Tidak Eligible",IF($G18&gt;=80,"Premium",IF($G18&gt;=50,"Standard Plus","Standard")))</f>
        <v>Standard</v>
      </c>
      <c r="K18" s="8" t="n">
        <f aca="false">IF($I18="Tidak","-",IF($J18="Premium",INDEX(Pricing_Rules!$E$4:$E$5,MATCH($H18,Pricing_Rules!$A$4:$A$5,0)),IF($J18="Standard Plus",(INDEX(Pricing_Rules!$D$4:$D$5,MATCH($H18,Pricing_Rules!$A$4:$A$5,0))+INDEX(Pricing_Rules!$E$4:$E$5,MATCH($H18,Pricing_Rules!$A$4:$A$5,0)))/2,INDEX(Pricing_Rules!$D$4:$D$5,MATCH($H18,Pricing_Rules!$A$4:$A$5,0)))))</f>
        <v>0.03</v>
      </c>
    </row>
    <row r="19" customFormat="false" ht="15" hidden="false" customHeight="false" outlineLevel="0" collapsed="false">
      <c r="A19" s="3" t="s">
        <v>55</v>
      </c>
      <c r="B19" s="4" t="n">
        <v>75000000</v>
      </c>
      <c r="C19" s="3" t="s">
        <v>28</v>
      </c>
      <c r="D19" s="3" t="n">
        <v>16</v>
      </c>
      <c r="E19" s="3" t="s">
        <v>56</v>
      </c>
      <c r="F19" s="3" t="n">
        <v>60</v>
      </c>
      <c r="G19" s="3" t="n">
        <v>91</v>
      </c>
      <c r="H19" s="3" t="s">
        <v>7</v>
      </c>
      <c r="I19" s="7" t="str">
        <f aca="false">IF(AND($B19&gt;=INDEX(Pricing_Rules!$F$4:$F$5,MATCH($H19,Pricing_Rules!$A$4:$A$5,0)),$F19&gt;=INDEX(Pricing_Rules!$B$4:$B$5,MATCH($H19,Pricing_Rules!$A$4:$A$5,0)),$F19&lt;=INDEX(Pricing_Rules!$C$4:$C$5,MATCH($H19,Pricing_Rules!$A$4:$A$5,0))),"Ya","Tidak")</f>
        <v>Ya</v>
      </c>
      <c r="J19" s="7" t="str">
        <f aca="false">IF($I19="Tidak","Tidak Eligible",IF($G19&gt;=80,"Premium",IF($G19&gt;=50,"Standard Plus","Standard")))</f>
        <v>Premium</v>
      </c>
      <c r="K19" s="8" t="n">
        <f aca="false">IF($I19="Tidak","-",IF($J19="Premium",INDEX(Pricing_Rules!$E$4:$E$5,MATCH($H19,Pricing_Rules!$A$4:$A$5,0)),IF($J19="Standard Plus",(INDEX(Pricing_Rules!$D$4:$D$5,MATCH($H19,Pricing_Rules!$A$4:$A$5,0))+INDEX(Pricing_Rules!$E$4:$E$5,MATCH($H19,Pricing_Rules!$A$4:$A$5,0)))/2,INDEX(Pricing_Rules!$D$4:$D$5,MATCH($H19,Pricing_Rules!$A$4:$A$5,0)))))</f>
        <v>0.0475</v>
      </c>
    </row>
    <row r="20" customFormat="false" ht="15" hidden="false" customHeight="false" outlineLevel="0" collapsed="false">
      <c r="A20" s="3" t="s">
        <v>57</v>
      </c>
      <c r="B20" s="4" t="n">
        <v>2000000</v>
      </c>
      <c r="C20" s="3" t="s">
        <v>25</v>
      </c>
      <c r="D20" s="3" t="n">
        <v>7</v>
      </c>
      <c r="E20" s="3" t="s">
        <v>23</v>
      </c>
      <c r="F20" s="3" t="n">
        <v>6</v>
      </c>
      <c r="G20" s="3" t="n">
        <v>42</v>
      </c>
      <c r="H20" s="3" t="s">
        <v>8</v>
      </c>
      <c r="I20" s="7" t="str">
        <f aca="false">IF(AND($B20&gt;=INDEX(Pricing_Rules!$F$4:$F$5,MATCH($H20,Pricing_Rules!$A$4:$A$5,0)),$F20&gt;=INDEX(Pricing_Rules!$B$4:$B$5,MATCH($H20,Pricing_Rules!$A$4:$A$5,0)),$F20&lt;=INDEX(Pricing_Rules!$C$4:$C$5,MATCH($H20,Pricing_Rules!$A$4:$A$5,0))),"Ya","Tidak")</f>
        <v>Ya</v>
      </c>
      <c r="J20" s="7" t="str">
        <f aca="false">IF($I20="Tidak","Tidak Eligible",IF($G20&gt;=80,"Premium",IF($G20&gt;=50,"Standard Plus","Standard")))</f>
        <v>Standard</v>
      </c>
      <c r="K20" s="8" t="n">
        <f aca="false">IF($I20="Tidak","-",IF($J20="Premium",INDEX(Pricing_Rules!$E$4:$E$5,MATCH($H20,Pricing_Rules!$A$4:$A$5,0)),IF($J20="Standard Plus",(INDEX(Pricing_Rules!$D$4:$D$5,MATCH($H20,Pricing_Rules!$A$4:$A$5,0))+INDEX(Pricing_Rules!$E$4:$E$5,MATCH($H20,Pricing_Rules!$A$4:$A$5,0)))/2,INDEX(Pricing_Rules!$D$4:$D$5,MATCH($H20,Pricing_Rules!$A$4:$A$5,0)))))</f>
        <v>0.03</v>
      </c>
    </row>
    <row r="21" customFormat="false" ht="15" hidden="false" customHeight="false" outlineLevel="0" collapsed="false">
      <c r="A21" s="3" t="s">
        <v>58</v>
      </c>
      <c r="B21" s="4" t="n">
        <v>55000000</v>
      </c>
      <c r="C21" s="3" t="s">
        <v>59</v>
      </c>
      <c r="D21" s="3" t="n">
        <v>21</v>
      </c>
      <c r="E21" s="3" t="s">
        <v>31</v>
      </c>
      <c r="F21" s="3" t="n">
        <v>12</v>
      </c>
      <c r="G21" s="3" t="n">
        <v>93</v>
      </c>
      <c r="H21" s="3" t="s">
        <v>8</v>
      </c>
      <c r="I21" s="7" t="str">
        <f aca="false">IF(AND($B21&gt;=INDEX(Pricing_Rules!$F$4:$F$5,MATCH($H21,Pricing_Rules!$A$4:$A$5,0)),$F21&gt;=INDEX(Pricing_Rules!$B$4:$B$5,MATCH($H21,Pricing_Rules!$A$4:$A$5,0)),$F21&lt;=INDEX(Pricing_Rules!$C$4:$C$5,MATCH($H21,Pricing_Rules!$A$4:$A$5,0))),"Ya","Tidak")</f>
        <v>Ya</v>
      </c>
      <c r="J21" s="7" t="str">
        <f aca="false">IF($I21="Tidak","Tidak Eligible",IF($G21&gt;=80,"Premium",IF($G21&gt;=50,"Standard Plus","Standard")))</f>
        <v>Premium</v>
      </c>
      <c r="K21" s="8" t="n">
        <f aca="false">IF($I21="Tidak","-",IF($J21="Premium",INDEX(Pricing_Rules!$E$4:$E$5,MATCH($H21,Pricing_Rules!$A$4:$A$5,0)),IF($J21="Standard Plus",(INDEX(Pricing_Rules!$D$4:$D$5,MATCH($H21,Pricing_Rules!$A$4:$A$5,0))+INDEX(Pricing_Rules!$E$4:$E$5,MATCH($H21,Pricing_Rules!$A$4:$A$5,0)))/2,INDEX(Pricing_Rules!$D$4:$D$5,MATCH($H21,Pricing_Rules!$A$4:$A$5,0)))))</f>
        <v>0.05</v>
      </c>
    </row>
    <row r="23" customFormat="false" ht="15" hidden="false" customHeight="false" outlineLevel="0" collapsed="false">
      <c r="A23" s="6" t="s">
        <v>60</v>
      </c>
      <c r="B23" s="6"/>
      <c r="C23" s="6"/>
      <c r="D23" s="6"/>
      <c r="E23" s="6"/>
      <c r="F23" s="6"/>
      <c r="G23" s="6"/>
      <c r="H23" s="6"/>
      <c r="I23" s="6"/>
      <c r="J23" s="6"/>
      <c r="K23" s="6"/>
    </row>
  </sheetData>
  <mergeCells count="1">
    <mergeCell ref="A23:K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2026-09-04T03:53:14Z</dcterms:created>
  <dc:creator>openpyxl</dc:creator>
  <dc:description/>
  <dc:language>en-US</dc:language>
  <cp:lastModifiedBy/>
  <dcterms:modified xsi:type="dcterms:W3CDTF">2026-09-04T03:53:19Z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